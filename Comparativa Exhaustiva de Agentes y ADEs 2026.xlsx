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TUDIANTES\Desktop\"/>
    </mc:Choice>
  </mc:AlternateContent>
  <xr:revisionPtr revIDLastSave="0" documentId="8_{ACE51F88-6B65-46D0-A190-5BA485FE32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_ADEs_Orquestadores" sheetId="1" r:id="rId1"/>
    <sheet name="2_Harnesses_CLI" sheetId="2" r:id="rId2"/>
    <sheet name="3_Agent_OS_Plataformas" sheetId="3" r:id="rId3"/>
    <sheet name="4_Agentes_E2E_Cloud" sheetId="4" r:id="rId4"/>
    <sheet name="5_Agentic_IDEs" sheetId="5" r:id="rId5"/>
    <sheet name="6_Explicacion_Pedagogica" sheetId="6" r:id="rId6"/>
    <sheet name="7_Detalle_de_Medidas" sheetId="7" r:id="rId7"/>
    <sheet name="8_Capacidades_Ventajas_Desven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5" l="1"/>
  <c r="A9" i="5"/>
  <c r="I8" i="5"/>
  <c r="A8" i="5"/>
  <c r="I7" i="5"/>
  <c r="A7" i="5"/>
  <c r="I6" i="5"/>
  <c r="A6" i="5"/>
  <c r="I5" i="5"/>
  <c r="A5" i="5"/>
  <c r="I4" i="5"/>
  <c r="A4" i="5"/>
  <c r="I3" i="5"/>
  <c r="A3" i="5"/>
  <c r="I2" i="5"/>
  <c r="A2" i="5"/>
  <c r="I5" i="4"/>
  <c r="A5" i="4"/>
  <c r="I4" i="4"/>
  <c r="A4" i="4"/>
  <c r="I3" i="4"/>
  <c r="A3" i="4"/>
  <c r="I2" i="4"/>
  <c r="A2" i="4"/>
  <c r="I6" i="3"/>
  <c r="A6" i="3"/>
  <c r="I5" i="3"/>
  <c r="A5" i="3"/>
  <c r="I4" i="3"/>
  <c r="A4" i="3"/>
  <c r="I3" i="3"/>
  <c r="A3" i="3"/>
  <c r="I2" i="3"/>
  <c r="A2" i="3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A4" i="2"/>
  <c r="I3" i="2"/>
  <c r="A3" i="2"/>
  <c r="I2" i="2"/>
  <c r="A2" i="2"/>
  <c r="I7" i="1"/>
  <c r="A7" i="1"/>
  <c r="I6" i="1"/>
  <c r="A6" i="1"/>
  <c r="I5" i="1"/>
  <c r="A5" i="1"/>
  <c r="I4" i="1"/>
  <c r="A4" i="1"/>
  <c r="I3" i="1"/>
  <c r="A3" i="1"/>
  <c r="I2" i="1"/>
  <c r="A2" i="1"/>
</calcChain>
</file>

<file path=xl/sharedStrings.xml><?xml version="1.0" encoding="utf-8"?>
<sst xmlns="http://schemas.openxmlformats.org/spreadsheetml/2006/main" count="430" uniqueCount="323">
  <si>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</si>
  <si>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</si>
  <si>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</si>
  <si>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</si>
  <si>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</si>
  <si>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</si>
  <si>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</si>
  <si>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</si>
  <si>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</si>
  <si>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</si>
  <si>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Google Spark (Gemini Spark)</t>
  </si>
  <si>
    <t>Google Antigravity 2.0</t>
  </si>
  <si>
    <t>Agente personal 24/7 con Workspace</t>
  </si>
  <si>
    <t>Manus AI</t>
  </si>
  <si>
    <t>OpenClaw 2.0</t>
  </si>
  <si>
    <t>Plataforma omnicanal con control OS</t>
  </si>
  <si>
    <t>AutoClaw</t>
  </si>
  <si>
    <t>OpenClaw empaquetado de un clic</t>
  </si>
  <si>
    <t>Hermes Agent</t>
  </si>
  <si>
    <t>Auto-aprendizaje con habilidades dinámicas persistentes</t>
  </si>
  <si>
    <t>Contexto masivo y artefactos visuales</t>
  </si>
  <si>
    <t>Goose (Block)</t>
  </si>
  <si>
    <t>Superset</t>
  </si>
  <si>
    <t>Agente general para el sistema</t>
  </si>
  <si>
    <t>OpenCode</t>
  </si>
  <si>
    <t>Worktrees paralelos y visor visual</t>
  </si>
  <si>
    <t>ZCode (Z.ai)</t>
  </si>
  <si>
    <t>Agente general autónomo en nube</t>
  </si>
  <si>
    <t>OpenHands</t>
  </si>
  <si>
    <t>ADE de escritorio para GLM</t>
  </si>
  <si>
    <t>GooeyPi</t>
  </si>
  <si>
    <t>Ingeniería de software en Docker</t>
  </si>
  <si>
    <t>Perplexity Computer</t>
  </si>
  <si>
    <t>Navegación web con búsqueda integrada</t>
  </si>
  <si>
    <t>Devin (Cognition)</t>
  </si>
  <si>
    <t>ADE unificado para entorno Pi</t>
  </si>
  <si>
    <t>Paseo</t>
  </si>
  <si>
    <t>Resolución autónoma de tickets cloud</t>
  </si>
  <si>
    <t>LSP nativo y arquitectura cliente-servidor</t>
  </si>
  <si>
    <t>Orquestador agéntico con control remoto</t>
  </si>
  <si>
    <t>Factory Droid</t>
  </si>
  <si>
    <t>Warp 2.0 (ADE)</t>
  </si>
  <si>
    <t>Agente empresarial líder en Terminal-Bench</t>
  </si>
  <si>
    <t>Oh My Pi (OMP)</t>
  </si>
  <si>
    <t>LSP nativo y depurador DAP</t>
  </si>
  <si>
    <t>Terminal moderna con flujos interactivos</t>
  </si>
  <si>
    <t>DeepSeek Harness (dsh)</t>
  </si>
  <si>
    <t>Microkernel desacoplado tipo plugin universal</t>
  </si>
  <si>
    <t>Prime Agent</t>
  </si>
  <si>
    <t>Arnés RLM para tareas prolongadas</t>
  </si>
  <si>
    <t>Kimi Code (Moonshot)</t>
  </si>
  <si>
    <t>Arnés terminal con contexto 1M</t>
  </si>
  <si>
    <t>Reasonix</t>
  </si>
  <si>
    <t>Optimización extrema por prefix caching</t>
  </si>
  <si>
    <t>Grok Build (xAI)</t>
  </si>
  <si>
    <t>Arnés en Rust con TUI interactiva</t>
  </si>
  <si>
    <t>Pi</t>
  </si>
  <si>
    <t>Arnés minimalista modular en TypeScript</t>
  </si>
  <si>
    <t>Aider</t>
  </si>
  <si>
    <t>Pair programming directo en Git</t>
  </si>
  <si>
    <t>Antigravity CLI</t>
  </si>
  <si>
    <t>Arnés terminal para repositorios masivos</t>
  </si>
  <si>
    <t>Codex CLI</t>
  </si>
  <si>
    <t>Razonamiento veloz del ecosistema OpenAI</t>
  </si>
  <si>
    <t>Claude Code</t>
  </si>
  <si>
    <t>Ingeniería profunda en consola local</t>
  </si>
  <si>
    <t>Kilo Code (Kilo-Org)</t>
  </si>
  <si>
    <t>Agente multi-modo para IDE y CLI</t>
  </si>
  <si>
    <t>Roo Code / Cline</t>
  </si>
  <si>
    <t>Agente autónomo integrado en VSCode</t>
  </si>
  <si>
    <t>Google AI Studio (Build)</t>
  </si>
  <si>
    <t>Prototipado rápido con despliegue cloud</t>
  </si>
  <si>
    <t>Capa Arquitectónica</t>
  </si>
  <si>
    <t>Cursor</t>
  </si>
  <si>
    <t>Descripción</t>
  </si>
  <si>
    <t>Ejemplos</t>
  </si>
  <si>
    <t>Capa 1: Modelos Fundacionales (Cognición Pura)</t>
  </si>
  <si>
    <t>Editor visual con IA integrada</t>
  </si>
  <si>
    <t>Bolt.new</t>
  </si>
  <si>
    <t>WebContainers en navegador con preview</t>
  </si>
  <si>
    <t>Proveen razonamiento pero carecen de entorno de ejecución por sí mismos.</t>
  </si>
  <si>
    <t>Claude 3.7/Opus, Gemini 2.5/Flash, GPT-4o/o-series, DeepSeek V3/R1</t>
  </si>
  <si>
    <t>Lovable.dev</t>
  </si>
  <si>
    <t>Capa 2: Agent Harnesses (Ejecución y Herramientas)</t>
  </si>
  <si>
    <t>Código envolvente que otorga al modelo un bucle cerrado (while loop), herramientas de terminal, gestión de memoria y conectores MCP.</t>
  </si>
  <si>
    <t>OpenCode, OMP, Reasonix, Claude Code</t>
  </si>
  <si>
    <t>Capa 3: ADEs y Orquestadores (Espacio de Trabajo Humano-Agente)</t>
  </si>
  <si>
    <t>Plataformas de supervisión que gestionan múltiples agentes a la vez sobre git worktrees y visores de diffs sin comandos manuales.</t>
  </si>
  <si>
    <t>Google Antigravity 2.0, Superset, GooeyPi</t>
  </si>
  <si>
    <t>Capa 4: Agent OS y Asistentes Omnicanal</t>
  </si>
  <si>
    <t>Sistemas con memoria persistente y pasarelas de mensajería que extienden el agente fuera de la computadora hacia la vida diaria.</t>
  </si>
  <si>
    <t>Google Spark, OpenClaw 2.0, AutoClaw, Hermes</t>
  </si>
  <si>
    <t>Vibe coding con Supabase integrado</t>
  </si>
  <si>
    <t>Capa 5: Agentes E2E Cloud y Prototipado Visual</t>
  </si>
  <si>
    <t>Sistemas que abstraen completamente la máquina local mediante contenedores cloud o WebContainers en navegador.</t>
  </si>
  <si>
    <t>Windsurf</t>
  </si>
  <si>
    <t>Manus, OpenHands, Bolt.new, v0</t>
  </si>
  <si>
    <t>Flujos Cascade y análisis contextual</t>
  </si>
  <si>
    <t>Contexto: ZCode</t>
  </si>
  <si>
    <t>Enfoque ADE centrado en modelos GLM-5.3</t>
  </si>
  <si>
    <t>v0 by Vercel</t>
  </si>
  <si>
    <t>Capa 3: ADEs y Orquestadores</t>
  </si>
  <si>
    <t>Contexto: Kimi Code</t>
  </si>
  <si>
    <t>Moonshot K3 con 1M contexto</t>
  </si>
  <si>
    <t>Capa 2: Agent Harnesses</t>
  </si>
  <si>
    <t>Contexto: Grok Build</t>
  </si>
  <si>
    <t>Arquitectura en Rust de xAI</t>
  </si>
  <si>
    <t>Generación visual frontend sin código</t>
  </si>
  <si>
    <t>Contexto: Kilo Code</t>
  </si>
  <si>
    <t>Agentic IDE</t>
  </si>
  <si>
    <t>Medida</t>
  </si>
  <si>
    <t>Peso</t>
  </si>
  <si>
    <t>Definición</t>
  </si>
  <si>
    <t>C1: Ingeniería de Software y Código Complejo (SWE)</t>
  </si>
  <si>
    <t>Mide la capacidad del agente para comprender bases de código grandes, manipular AST, resolver errores sintácticos y lógicos, ejecutar pruebas unitarias y aprobar suites como SWE-bench y Terminal-Bench.</t>
  </si>
  <si>
    <t>C2: Autonomía y Tareas de Larga Duración</t>
  </si>
  <si>
    <t>Evalúa la estabilidad del agente para trabajar sin supervisión durante horas, ejecutar bucles recursivos (RLM), gestionar memoria a largo plazo y recuperarse de excepciones.</t>
  </si>
  <si>
    <t>C3: Eficiencia de Costes y Gestión de Contexto</t>
  </si>
  <si>
    <t>Analiza el consumo y costo de tokens, aprovechamiento de prefix-caching (KV cache), soporte de ventanas de contexto masivas (1M-2M tokens) y tiers económicos o locales.</t>
  </si>
  <si>
    <t>C4: Aislamiento y Orquestación Multi-Tarea</t>
  </si>
  <si>
    <t>Evalúa el soporte de git worktrees en paralelo, sandboxing en Docker/VMs, sub-agentes concurrentes y control de ramas simultáneas.</t>
  </si>
  <si>
    <t>C5: Supervisión Visual y Ergonomía GUI</t>
  </si>
  <si>
    <t>Califica la presencia de interfaces gráficas, visores de diffs interactivos, previsualizaciones web en vivo y eliminación de la fatiga de terminal.</t>
  </si>
  <si>
    <t>C6: Capacidad de Herramientas e Integraciones</t>
  </si>
  <si>
    <t>Mide el volumen y flexibilidad de herramientas: soporte del protocolo MCP, servidores LSP, depuradores DAP, pasarelas de mensajería, control del SO (Computer Use) y ausencia de vendor lock-in (Multi-LLM).</t>
  </si>
  <si>
    <t>Fórmula de Puntuación Global</t>
  </si>
  <si>
    <t>= (C1*0.20) + (C2*0.15) + (C3*0.15) + (C4*0.15) + (C5*0.15) + (C6*0.20)</t>
  </si>
  <si>
    <t>Escala de interpretación</t>
  </si>
  <si>
    <t>1.0-3.0 (Deficiente/Inexistente), 4.0-6.0 (Básico/Con limitaciones), 7.0-8.0 (Sólido/Producción), 9.0-10.0 (Líder/Referente de la industria).</t>
  </si>
  <si>
    <t>Categoría</t>
  </si>
  <si>
    <t>Desarrollador / Origen</t>
  </si>
  <si>
    <t>Capacidades Principales</t>
  </si>
  <si>
    <t>Características Clave</t>
  </si>
  <si>
    <t>Ventajas Principales</t>
  </si>
  <si>
    <t>Desventajas / Limitaciones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</si>
  <si>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</si>
  <si>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</si>
  <si>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</si>
  <si>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</si>
  <si>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</si>
  <si>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</si>
  <si>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Superset.sh</t>
  </si>
  <si>
    <t>Orquestador de agentes CLI sobre Git worktrees</t>
  </si>
  <si>
    <t>Visor de diffs y navegador integrado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</si>
  <si>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</si>
  <si>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</si>
  <si>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</si>
  <si>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</si>
  <si>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</si>
  <si>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Unifica el ecosistema Pi en una app amigable</t>
  </si>
  <si>
    <t>Limitado a la familia Pi.</t>
  </si>
  <si>
    <t>Warp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</si>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</sst>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81B2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</dxfs>
  <tableStyles count="8">
    <tableStyle name="3_Agent_OS_Plataformas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1_ADEs_Orquestadore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4_Agentes_E2E_Cloud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2_Harnesses_CLI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5_Agentic_IDE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6_Explicacion_Pedagogica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7_Detalle_de_Medidas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8_Capacidades_Ventajas_Desventa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J7">
  <tableColumns count="10">
    <tableColumn id="1" xr3:uid="{00000000-0010-0000-0000-000001000000}" name="Puesto"/>
    <tableColumn id="2" xr3:uid="{00000000-0010-0000-0000-000002000000}" name="Herramienta"/>
    <tableColumn id="3" xr3:uid="{00000000-0010-0000-0000-000003000000}" name="C1 (SWE 20%)"/>
    <tableColumn id="4" xr3:uid="{00000000-0010-0000-0000-000004000000}" name="C2 (Autonomía 15%)"/>
    <tableColumn id="5" xr3:uid="{00000000-0010-0000-0000-000005000000}" name="C3 (Coste 15%)"/>
    <tableColumn id="6" xr3:uid="{00000000-0010-0000-0000-000006000000}" name="C4 (Aislamiento 15%)"/>
    <tableColumn id="7" xr3:uid="{00000000-0010-0000-0000-000007000000}" name="C5 (Visual 15%)"/>
    <tableColumn id="8" xr3:uid="{00000000-0010-0000-0000-000008000000}" name="C6 (Herramientas 20%)"/>
    <tableColumn id="9" xr3:uid="{00000000-0010-0000-0000-000009000000}" name="Puntuación Global"/>
    <tableColumn id="10" xr3:uid="{00000000-0010-0000-0000-00000A000000}" name="Característica Clave"/>
  </tableColumns>
  <tableStyleInfo name="1_ADEs_Orquestado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4" displayName="Table_4" ref="A1:J14">
  <tableColumns count="10">
    <tableColumn id="1" xr3:uid="{00000000-0010-0000-0100-000001000000}" name="Puesto"/>
    <tableColumn id="2" xr3:uid="{00000000-0010-0000-0100-000002000000}" name="Herramienta"/>
    <tableColumn id="3" xr3:uid="{00000000-0010-0000-0100-000003000000}" name="C1 (SWE 20%)"/>
    <tableColumn id="4" xr3:uid="{00000000-0010-0000-0100-000004000000}" name="C2 (Autonomía 15%)"/>
    <tableColumn id="5" xr3:uid="{00000000-0010-0000-0100-000005000000}" name="C3 (Coste 15%)"/>
    <tableColumn id="6" xr3:uid="{00000000-0010-0000-0100-000006000000}" name="C4 (Aislamiento 15%)"/>
    <tableColumn id="7" xr3:uid="{00000000-0010-0000-0100-000007000000}" name="C5 (Visual 15%)"/>
    <tableColumn id="8" xr3:uid="{00000000-0010-0000-0100-000008000000}" name="C6 (Herramientas 20%)"/>
    <tableColumn id="9" xr3:uid="{00000000-0010-0000-0100-000009000000}" name="Puntuación Global"/>
    <tableColumn id="10" xr3:uid="{00000000-0010-0000-0100-00000A000000}" name="Característica Clave"/>
  </tableColumns>
  <tableStyleInfo name="2_Harnesses_CLI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1" displayName="Table_1" ref="A1:J6">
  <tableColumns count="10">
    <tableColumn id="1" xr3:uid="{00000000-0010-0000-0200-000001000000}" name="Puesto"/>
    <tableColumn id="2" xr3:uid="{00000000-0010-0000-0200-000002000000}" name="Herramienta"/>
    <tableColumn id="3" xr3:uid="{00000000-0010-0000-0200-000003000000}" name="C1 (SWE 20%)"/>
    <tableColumn id="4" xr3:uid="{00000000-0010-0000-0200-000004000000}" name="C2 (Autonomía 15%)"/>
    <tableColumn id="5" xr3:uid="{00000000-0010-0000-0200-000005000000}" name="C3 (Coste 15%)"/>
    <tableColumn id="6" xr3:uid="{00000000-0010-0000-0200-000006000000}" name="C4 (Aislamiento 15%)"/>
    <tableColumn id="7" xr3:uid="{00000000-0010-0000-0200-000007000000}" name="C5 (Visual 15%)"/>
    <tableColumn id="8" xr3:uid="{00000000-0010-0000-0200-000008000000}" name="C6 (Herramientas 20%)"/>
    <tableColumn id="9" xr3:uid="{00000000-0010-0000-0200-000009000000}" name="Puntuación Global"/>
    <tableColumn id="10" xr3:uid="{00000000-0010-0000-0200-00000A000000}" name="Característica Clave"/>
  </tableColumns>
  <tableStyleInfo name="3_Agent_OS_Plataform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_3" displayName="Table_3" ref="A1:J5">
  <tableColumns count="10">
    <tableColumn id="1" xr3:uid="{00000000-0010-0000-0300-000001000000}" name="Puesto"/>
    <tableColumn id="2" xr3:uid="{00000000-0010-0000-0300-000002000000}" name="Herramienta"/>
    <tableColumn id="3" xr3:uid="{00000000-0010-0000-0300-000003000000}" name="C1 (SWE 20%)"/>
    <tableColumn id="4" xr3:uid="{00000000-0010-0000-0300-000004000000}" name="C2 (Autonomía 15%)"/>
    <tableColumn id="5" xr3:uid="{00000000-0010-0000-0300-000005000000}" name="C3 (Coste 15%)"/>
    <tableColumn id="6" xr3:uid="{00000000-0010-0000-0300-000006000000}" name="C4 (Aislamiento 15%)"/>
    <tableColumn id="7" xr3:uid="{00000000-0010-0000-0300-000007000000}" name="C5 (Visual 15%)"/>
    <tableColumn id="8" xr3:uid="{00000000-0010-0000-0300-000008000000}" name="C6 (Herramientas 20%)"/>
    <tableColumn id="9" xr3:uid="{00000000-0010-0000-0300-000009000000}" name="Puntuación Global"/>
    <tableColumn id="10" xr3:uid="{00000000-0010-0000-0300-00000A000000}" name="Característica Clave"/>
  </tableColumns>
  <tableStyleInfo name="4_Agentes_E2E_Cloud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J9">
  <tableColumns count="10">
    <tableColumn id="1" xr3:uid="{00000000-0010-0000-0400-000001000000}" name="Puesto"/>
    <tableColumn id="2" xr3:uid="{00000000-0010-0000-0400-000002000000}" name="Herramienta"/>
    <tableColumn id="3" xr3:uid="{00000000-0010-0000-0400-000003000000}" name="C1 (SWE 20%)"/>
    <tableColumn id="4" xr3:uid="{00000000-0010-0000-0400-000004000000}" name="C2 (Autonomía 15%)"/>
    <tableColumn id="5" xr3:uid="{00000000-0010-0000-0400-000005000000}" name="C3 (Coste 15%)"/>
    <tableColumn id="6" xr3:uid="{00000000-0010-0000-0400-000006000000}" name="C4 (Aislamiento 15%)"/>
    <tableColumn id="7" xr3:uid="{00000000-0010-0000-0400-000007000000}" name="C5 (Visual 15%)"/>
    <tableColumn id="8" xr3:uid="{00000000-0010-0000-0400-000008000000}" name="C6 (Herramientas 20%)"/>
    <tableColumn id="9" xr3:uid="{00000000-0010-0000-0400-000009000000}" name="Puntuación Global"/>
    <tableColumn id="10" xr3:uid="{00000000-0010-0000-0400-00000A000000}" name="Característica Clave"/>
  </tableColumns>
  <tableStyleInfo name="5_Agentic_ID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C10">
  <tableColumns count="3">
    <tableColumn id="1" xr3:uid="{00000000-0010-0000-0500-000001000000}" name="Capa Arquitectónica"/>
    <tableColumn id="2" xr3:uid="{00000000-0010-0000-0500-000002000000}" name="Descripción"/>
    <tableColumn id="3" xr3:uid="{00000000-0010-0000-0500-000003000000}" name="Ejemplos"/>
  </tableColumns>
  <tableStyleInfo name="6_Explicacion_Pedagogic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C10">
  <tableColumns count="3">
    <tableColumn id="1" xr3:uid="{00000000-0010-0000-0600-000001000000}" name="Medida"/>
    <tableColumn id="2" xr3:uid="{00000000-0010-0000-0600-000002000000}" name="Peso"/>
    <tableColumn id="3" xr3:uid="{00000000-0010-0000-0600-000003000000}" name="Definición"/>
  </tableColumns>
  <tableStyleInfo name="7_Detalle_de_Medida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G37">
  <tableColumns count="7">
    <tableColumn id="1" xr3:uid="{00000000-0010-0000-0700-000001000000}" name="Herramienta"/>
    <tableColumn id="2" xr3:uid="{00000000-0010-0000-0700-000002000000}" name="Categoría"/>
    <tableColumn id="3" xr3:uid="{00000000-0010-0000-0700-000003000000}" name="Desarrollador / Origen"/>
    <tableColumn id="4" xr3:uid="{00000000-0010-0000-0700-000004000000}" name="Capacidades Principales"/>
    <tableColumn id="5" xr3:uid="{00000000-0010-0000-0700-000005000000}" name="Características Clave"/>
    <tableColumn id="6" xr3:uid="{00000000-0010-0000-0700-000006000000}" name="Ventajas Principales"/>
    <tableColumn id="7" xr3:uid="{00000000-0010-0000-0700-000007000000}" name="Desventajas / Limitaciones"/>
  </tableColumns>
  <tableStyleInfo name="8_Capacidades_Ventajas_Desven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tabSelected="1" workbookViewId="0">
      <selection activeCell="B4" sqref="B4:J4"/>
    </sheetView>
  </sheetViews>
  <sheetFormatPr baseColWidth="10" defaultColWidth="12.5703125" defaultRowHeight="15.75" customHeight="1" x14ac:dyDescent="0.2"/>
  <cols>
    <col min="1" max="1" width="6.5703125" customWidth="1"/>
    <col min="2" max="2" width="16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0.42578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7" si="0">ROW()-1</f>
        <v>1</v>
      </c>
      <c r="B2" s="9" t="s">
        <v>11</v>
      </c>
      <c r="C2" s="9">
        <v>9.1999999999999993</v>
      </c>
      <c r="D2" s="9">
        <v>9</v>
      </c>
      <c r="E2" s="9">
        <v>9.4</v>
      </c>
      <c r="F2" s="9">
        <v>9.1999999999999993</v>
      </c>
      <c r="G2" s="9">
        <v>9.5</v>
      </c>
      <c r="H2" s="9">
        <v>9.1999999999999993</v>
      </c>
      <c r="I2" s="9">
        <f t="shared" ref="I2:I7" si="1">(C2*0.2)+(D2*0.15)+(E2*0.15)+(F2*0.15)+(G2*0.15)+(H2*0.2)</f>
        <v>9.2449999999999992</v>
      </c>
      <c r="J2" s="9" t="s">
        <v>20</v>
      </c>
    </row>
    <row r="3" spans="1:10" x14ac:dyDescent="0.2">
      <c r="A3" s="2">
        <f t="shared" si="0"/>
        <v>2</v>
      </c>
      <c r="B3" s="3" t="s">
        <v>22</v>
      </c>
      <c r="C3" s="2">
        <v>8.1999999999999993</v>
      </c>
      <c r="D3" s="2">
        <v>8.5</v>
      </c>
      <c r="E3" s="2">
        <v>7.8</v>
      </c>
      <c r="F3" s="2">
        <v>9.8000000000000007</v>
      </c>
      <c r="G3" s="2">
        <v>9.6</v>
      </c>
      <c r="H3" s="2">
        <v>9.4</v>
      </c>
      <c r="I3" s="4">
        <f t="shared" si="1"/>
        <v>8.875</v>
      </c>
      <c r="J3" s="3" t="s">
        <v>25</v>
      </c>
    </row>
    <row r="4" spans="1:10" x14ac:dyDescent="0.2">
      <c r="A4" s="2">
        <f t="shared" si="0"/>
        <v>3</v>
      </c>
      <c r="B4" s="9" t="s">
        <v>26</v>
      </c>
      <c r="C4" s="9">
        <v>8.4</v>
      </c>
      <c r="D4" s="9">
        <v>8.8000000000000007</v>
      </c>
      <c r="E4" s="9">
        <v>9.1999999999999993</v>
      </c>
      <c r="F4" s="9">
        <v>8.8000000000000007</v>
      </c>
      <c r="G4" s="9">
        <v>9.3000000000000007</v>
      </c>
      <c r="H4" s="9">
        <v>8.5</v>
      </c>
      <c r="I4" s="9">
        <f t="shared" si="1"/>
        <v>8.7950000000000017</v>
      </c>
      <c r="J4" s="9" t="s">
        <v>29</v>
      </c>
    </row>
    <row r="5" spans="1:10" x14ac:dyDescent="0.2">
      <c r="A5" s="2">
        <f t="shared" si="0"/>
        <v>4</v>
      </c>
      <c r="B5" s="3" t="s">
        <v>30</v>
      </c>
      <c r="C5" s="2">
        <v>8.5</v>
      </c>
      <c r="D5" s="2">
        <v>8.8000000000000007</v>
      </c>
      <c r="E5" s="2">
        <v>8</v>
      </c>
      <c r="F5" s="2">
        <v>8.5</v>
      </c>
      <c r="G5" s="2">
        <v>9</v>
      </c>
      <c r="H5" s="2">
        <v>9.1999999999999993</v>
      </c>
      <c r="I5" s="4">
        <f t="shared" si="1"/>
        <v>8.6850000000000005</v>
      </c>
      <c r="J5" s="3" t="s">
        <v>35</v>
      </c>
    </row>
    <row r="6" spans="1:10" x14ac:dyDescent="0.2">
      <c r="A6" s="4">
        <f t="shared" si="0"/>
        <v>5</v>
      </c>
      <c r="B6" s="3" t="s">
        <v>36</v>
      </c>
      <c r="C6" s="2">
        <v>8</v>
      </c>
      <c r="D6" s="2">
        <v>8.5</v>
      </c>
      <c r="E6" s="2">
        <v>8.1999999999999993</v>
      </c>
      <c r="F6" s="2">
        <v>8.8000000000000007</v>
      </c>
      <c r="G6" s="2">
        <v>8.5</v>
      </c>
      <c r="H6" s="2">
        <v>8.6</v>
      </c>
      <c r="I6" s="4">
        <f t="shared" si="1"/>
        <v>8.42</v>
      </c>
      <c r="J6" s="3" t="s">
        <v>39</v>
      </c>
    </row>
    <row r="7" spans="1:10" x14ac:dyDescent="0.2">
      <c r="A7" s="4">
        <f t="shared" si="0"/>
        <v>6</v>
      </c>
      <c r="B7" s="3" t="s">
        <v>41</v>
      </c>
      <c r="C7" s="2">
        <v>8.5</v>
      </c>
      <c r="D7" s="2">
        <v>8</v>
      </c>
      <c r="E7" s="2">
        <v>7.6</v>
      </c>
      <c r="F7" s="2">
        <v>8.8000000000000007</v>
      </c>
      <c r="G7" s="2">
        <v>9</v>
      </c>
      <c r="H7" s="2">
        <v>8.4</v>
      </c>
      <c r="I7" s="4">
        <f t="shared" si="1"/>
        <v>8.39</v>
      </c>
      <c r="J7" s="3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8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4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14" si="0">ROW()-1</f>
        <v>1</v>
      </c>
      <c r="B2" s="3" t="s">
        <v>24</v>
      </c>
      <c r="C2" s="2">
        <v>9.3000000000000007</v>
      </c>
      <c r="D2" s="2">
        <v>8.4</v>
      </c>
      <c r="E2" s="2">
        <v>8.8000000000000007</v>
      </c>
      <c r="F2" s="2">
        <v>8</v>
      </c>
      <c r="G2" s="2">
        <v>8.1999999999999993</v>
      </c>
      <c r="H2" s="2">
        <v>9.6</v>
      </c>
      <c r="I2" s="4">
        <f t="shared" ref="I2:I14" si="1">(C2*0.2)+(D2*0.15)+(E2*0.15)+(F2*0.15)+(G2*0.15)+(H2*0.2)</f>
        <v>8.7899999999999991</v>
      </c>
      <c r="J2" s="3" t="s">
        <v>38</v>
      </c>
    </row>
    <row r="3" spans="1:10" x14ac:dyDescent="0.2">
      <c r="A3" s="2">
        <f t="shared" si="0"/>
        <v>2</v>
      </c>
      <c r="B3" s="3" t="s">
        <v>40</v>
      </c>
      <c r="C3" s="2">
        <v>9.4</v>
      </c>
      <c r="D3" s="2">
        <v>8.8000000000000007</v>
      </c>
      <c r="E3" s="2">
        <v>8</v>
      </c>
      <c r="F3" s="2">
        <v>8.8000000000000007</v>
      </c>
      <c r="G3" s="2">
        <v>8.1999999999999993</v>
      </c>
      <c r="H3" s="2">
        <v>9.1999999999999993</v>
      </c>
      <c r="I3" s="4">
        <f t="shared" si="1"/>
        <v>8.7899999999999991</v>
      </c>
      <c r="J3" s="3" t="s">
        <v>42</v>
      </c>
    </row>
    <row r="4" spans="1:10" x14ac:dyDescent="0.2">
      <c r="A4" s="2">
        <f t="shared" si="0"/>
        <v>3</v>
      </c>
      <c r="B4" s="3" t="s">
        <v>43</v>
      </c>
      <c r="C4" s="2">
        <v>9.6</v>
      </c>
      <c r="D4" s="2">
        <v>8.8000000000000007</v>
      </c>
      <c r="E4" s="2">
        <v>8.1999999999999993</v>
      </c>
      <c r="F4" s="2">
        <v>8</v>
      </c>
      <c r="G4" s="2">
        <v>8</v>
      </c>
      <c r="H4" s="2">
        <v>9.5</v>
      </c>
      <c r="I4" s="4">
        <f t="shared" si="1"/>
        <v>8.77</v>
      </c>
      <c r="J4" s="3" t="s">
        <v>44</v>
      </c>
    </row>
    <row r="5" spans="1:10" x14ac:dyDescent="0.2">
      <c r="A5" s="2">
        <f t="shared" si="0"/>
        <v>4</v>
      </c>
      <c r="B5" s="3" t="s">
        <v>46</v>
      </c>
      <c r="C5" s="2">
        <v>8.8000000000000007</v>
      </c>
      <c r="D5" s="2">
        <v>8.6</v>
      </c>
      <c r="E5" s="2">
        <v>9</v>
      </c>
      <c r="F5" s="2">
        <v>8.5</v>
      </c>
      <c r="G5" s="2">
        <v>6.5</v>
      </c>
      <c r="H5" s="2">
        <v>9.8000000000000007</v>
      </c>
      <c r="I5" s="4">
        <f t="shared" si="1"/>
        <v>8.61</v>
      </c>
      <c r="J5" s="3" t="s">
        <v>47</v>
      </c>
    </row>
    <row r="6" spans="1:10" x14ac:dyDescent="0.2">
      <c r="A6" s="2">
        <f t="shared" si="0"/>
        <v>5</v>
      </c>
      <c r="B6" s="3" t="s">
        <v>48</v>
      </c>
      <c r="C6" s="2">
        <v>9.1</v>
      </c>
      <c r="D6" s="2">
        <v>9.8000000000000007</v>
      </c>
      <c r="E6" s="2">
        <v>7.8</v>
      </c>
      <c r="F6" s="2">
        <v>7.8</v>
      </c>
      <c r="G6" s="2">
        <v>6.5</v>
      </c>
      <c r="H6" s="2">
        <v>9</v>
      </c>
      <c r="I6" s="4">
        <f t="shared" si="1"/>
        <v>8.4049999999999994</v>
      </c>
      <c r="J6" s="3" t="s">
        <v>49</v>
      </c>
    </row>
    <row r="7" spans="1:10" x14ac:dyDescent="0.2">
      <c r="A7" s="2">
        <f t="shared" si="0"/>
        <v>6</v>
      </c>
      <c r="B7" s="3" t="s">
        <v>50</v>
      </c>
      <c r="C7" s="2">
        <v>8.9</v>
      </c>
      <c r="D7" s="2">
        <v>8.5</v>
      </c>
      <c r="E7" s="2">
        <v>8.8000000000000007</v>
      </c>
      <c r="F7" s="2">
        <v>7.8</v>
      </c>
      <c r="G7" s="2">
        <v>7.2</v>
      </c>
      <c r="H7" s="2">
        <v>8.8000000000000007</v>
      </c>
      <c r="I7" s="4">
        <f t="shared" si="1"/>
        <v>8.3849999999999998</v>
      </c>
      <c r="J7" s="3" t="s">
        <v>51</v>
      </c>
    </row>
    <row r="8" spans="1:10" x14ac:dyDescent="0.2">
      <c r="A8" s="2">
        <f t="shared" si="0"/>
        <v>7</v>
      </c>
      <c r="B8" s="3" t="s">
        <v>52</v>
      </c>
      <c r="C8" s="2">
        <v>8.6999999999999993</v>
      </c>
      <c r="D8" s="2">
        <v>8</v>
      </c>
      <c r="E8" s="2">
        <v>9.9</v>
      </c>
      <c r="F8" s="2">
        <v>8</v>
      </c>
      <c r="G8" s="2">
        <v>7</v>
      </c>
      <c r="H8" s="2">
        <v>8.1999999999999993</v>
      </c>
      <c r="I8" s="4">
        <f t="shared" si="1"/>
        <v>8.3149999999999995</v>
      </c>
      <c r="J8" s="3" t="s">
        <v>53</v>
      </c>
    </row>
    <row r="9" spans="1:10" x14ac:dyDescent="0.2">
      <c r="A9" s="2">
        <f t="shared" si="0"/>
        <v>8</v>
      </c>
      <c r="B9" s="3" t="s">
        <v>54</v>
      </c>
      <c r="C9" s="2">
        <v>9</v>
      </c>
      <c r="D9" s="2">
        <v>8.1999999999999993</v>
      </c>
      <c r="E9" s="2">
        <v>8</v>
      </c>
      <c r="F9" s="2">
        <v>8</v>
      </c>
      <c r="G9" s="2">
        <v>7.5</v>
      </c>
      <c r="H9" s="2">
        <v>8.1999999999999993</v>
      </c>
      <c r="I9" s="4">
        <f t="shared" si="1"/>
        <v>8.1950000000000003</v>
      </c>
      <c r="J9" s="3" t="s">
        <v>55</v>
      </c>
    </row>
    <row r="10" spans="1:10" x14ac:dyDescent="0.2">
      <c r="A10" s="2">
        <f t="shared" si="0"/>
        <v>9</v>
      </c>
      <c r="B10" s="3" t="s">
        <v>56</v>
      </c>
      <c r="C10" s="2">
        <v>8.8000000000000007</v>
      </c>
      <c r="D10" s="2">
        <v>7.8</v>
      </c>
      <c r="E10" s="2">
        <v>8.5</v>
      </c>
      <c r="F10" s="2">
        <v>7.5</v>
      </c>
      <c r="G10" s="2">
        <v>6</v>
      </c>
      <c r="H10" s="2">
        <v>9.6</v>
      </c>
      <c r="I10" s="4">
        <f t="shared" si="1"/>
        <v>8.15</v>
      </c>
      <c r="J10" s="3" t="s">
        <v>57</v>
      </c>
    </row>
    <row r="11" spans="1:10" x14ac:dyDescent="0.2">
      <c r="A11" s="2">
        <f t="shared" si="0"/>
        <v>10</v>
      </c>
      <c r="B11" s="3" t="s">
        <v>58</v>
      </c>
      <c r="C11" s="2">
        <v>8.9</v>
      </c>
      <c r="D11" s="2">
        <v>7.5</v>
      </c>
      <c r="E11" s="2">
        <v>8.8000000000000007</v>
      </c>
      <c r="F11" s="2">
        <v>8</v>
      </c>
      <c r="G11" s="2">
        <v>5.5</v>
      </c>
      <c r="H11" s="2">
        <v>8.8000000000000007</v>
      </c>
      <c r="I11" s="4">
        <f t="shared" si="1"/>
        <v>8.0100000000000016</v>
      </c>
      <c r="J11" s="3" t="s">
        <v>59</v>
      </c>
    </row>
    <row r="12" spans="1:10" x14ac:dyDescent="0.2">
      <c r="A12" s="2">
        <f t="shared" si="0"/>
        <v>11</v>
      </c>
      <c r="B12" s="3" t="s">
        <v>60</v>
      </c>
      <c r="C12" s="2">
        <v>9</v>
      </c>
      <c r="D12" s="2">
        <v>8.1999999999999993</v>
      </c>
      <c r="E12" s="2">
        <v>9.5</v>
      </c>
      <c r="F12" s="2">
        <v>7</v>
      </c>
      <c r="G12" s="2">
        <v>6</v>
      </c>
      <c r="H12" s="2">
        <v>7.5</v>
      </c>
      <c r="I12" s="4">
        <f t="shared" si="1"/>
        <v>7.9049999999999994</v>
      </c>
      <c r="J12" s="3" t="s">
        <v>61</v>
      </c>
    </row>
    <row r="13" spans="1:10" x14ac:dyDescent="0.2">
      <c r="A13" s="4">
        <f t="shared" si="0"/>
        <v>12</v>
      </c>
      <c r="B13" s="3" t="s">
        <v>62</v>
      </c>
      <c r="C13" s="2">
        <v>8.8000000000000007</v>
      </c>
      <c r="D13" s="2">
        <v>7.8</v>
      </c>
      <c r="E13" s="2">
        <v>8.5</v>
      </c>
      <c r="F13" s="2">
        <v>7.5</v>
      </c>
      <c r="G13" s="2">
        <v>6</v>
      </c>
      <c r="H13" s="2">
        <v>6.8</v>
      </c>
      <c r="I13" s="4">
        <f t="shared" si="1"/>
        <v>7.5900000000000007</v>
      </c>
      <c r="J13" s="3" t="s">
        <v>63</v>
      </c>
    </row>
    <row r="14" spans="1:10" x14ac:dyDescent="0.2">
      <c r="A14" s="4">
        <f t="shared" si="0"/>
        <v>13</v>
      </c>
      <c r="B14" s="3" t="s">
        <v>64</v>
      </c>
      <c r="C14" s="2">
        <v>9.6</v>
      </c>
      <c r="D14" s="2">
        <v>8</v>
      </c>
      <c r="E14" s="2">
        <v>6.8</v>
      </c>
      <c r="F14" s="2">
        <v>6.5</v>
      </c>
      <c r="G14" s="2">
        <v>5</v>
      </c>
      <c r="H14" s="2">
        <v>8.5</v>
      </c>
      <c r="I14" s="4">
        <f t="shared" si="1"/>
        <v>7.5650000000000004</v>
      </c>
      <c r="J14" s="3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21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42.1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6" si="0">ROW()-1</f>
        <v>1</v>
      </c>
      <c r="B2" s="3" t="s">
        <v>10</v>
      </c>
      <c r="C2" s="2">
        <v>8.4</v>
      </c>
      <c r="D2" s="2">
        <v>9.6</v>
      </c>
      <c r="E2" s="2">
        <v>9.3000000000000007</v>
      </c>
      <c r="F2" s="2">
        <v>9</v>
      </c>
      <c r="G2" s="2">
        <v>9.1999999999999993</v>
      </c>
      <c r="H2" s="2">
        <v>9.6999999999999993</v>
      </c>
      <c r="I2" s="4">
        <f t="shared" ref="I2:I6" si="1">(C2*0.2)+(D2*0.15)+(E2*0.15)+(F2*0.15)+(G2*0.15)+(H2*0.2)</f>
        <v>9.1850000000000005</v>
      </c>
      <c r="J2" s="3" t="s">
        <v>12</v>
      </c>
    </row>
    <row r="3" spans="1:10" x14ac:dyDescent="0.2">
      <c r="A3" s="2">
        <f t="shared" si="0"/>
        <v>2</v>
      </c>
      <c r="B3" s="3" t="s">
        <v>14</v>
      </c>
      <c r="C3" s="2">
        <v>8.1999999999999993</v>
      </c>
      <c r="D3" s="2">
        <v>8.5</v>
      </c>
      <c r="E3" s="2">
        <v>8.1999999999999993</v>
      </c>
      <c r="F3" s="2">
        <v>8.1999999999999993</v>
      </c>
      <c r="G3" s="2">
        <v>8.8000000000000007</v>
      </c>
      <c r="H3" s="2">
        <v>9.8000000000000007</v>
      </c>
      <c r="I3" s="4">
        <f t="shared" si="1"/>
        <v>8.6549999999999994</v>
      </c>
      <c r="J3" s="3" t="s">
        <v>15</v>
      </c>
    </row>
    <row r="4" spans="1:10" x14ac:dyDescent="0.2">
      <c r="A4" s="2">
        <f t="shared" si="0"/>
        <v>3</v>
      </c>
      <c r="B4" s="3" t="s">
        <v>16</v>
      </c>
      <c r="C4" s="2">
        <v>8</v>
      </c>
      <c r="D4" s="2">
        <v>8.4</v>
      </c>
      <c r="E4" s="2">
        <v>8.6</v>
      </c>
      <c r="F4" s="2">
        <v>8.1999999999999993</v>
      </c>
      <c r="G4" s="2">
        <v>9.1999999999999993</v>
      </c>
      <c r="H4" s="2">
        <v>9.1999999999999993</v>
      </c>
      <c r="I4" s="4">
        <f t="shared" si="1"/>
        <v>8.6</v>
      </c>
      <c r="J4" s="3" t="s">
        <v>17</v>
      </c>
    </row>
    <row r="5" spans="1:10" x14ac:dyDescent="0.2">
      <c r="A5" s="2">
        <f t="shared" si="0"/>
        <v>4</v>
      </c>
      <c r="B5" s="3" t="s">
        <v>18</v>
      </c>
      <c r="C5" s="2">
        <v>8.3000000000000007</v>
      </c>
      <c r="D5" s="2">
        <v>9</v>
      </c>
      <c r="E5" s="2">
        <v>8.4</v>
      </c>
      <c r="F5" s="2">
        <v>8</v>
      </c>
      <c r="G5" s="2">
        <v>6.8</v>
      </c>
      <c r="H5" s="2">
        <v>9.4</v>
      </c>
      <c r="I5" s="4">
        <f t="shared" si="1"/>
        <v>8.370000000000001</v>
      </c>
      <c r="J5" s="3" t="s">
        <v>19</v>
      </c>
    </row>
    <row r="6" spans="1:10" x14ac:dyDescent="0.2">
      <c r="A6" s="2">
        <f t="shared" si="0"/>
        <v>5</v>
      </c>
      <c r="B6" s="3" t="s">
        <v>21</v>
      </c>
      <c r="C6" s="2">
        <v>8.1999999999999993</v>
      </c>
      <c r="D6" s="2">
        <v>8</v>
      </c>
      <c r="E6" s="2">
        <v>8.4</v>
      </c>
      <c r="F6" s="2">
        <v>7.8</v>
      </c>
      <c r="G6" s="2">
        <v>7.2</v>
      </c>
      <c r="H6" s="2">
        <v>9.1999999999999993</v>
      </c>
      <c r="I6" s="4">
        <f t="shared" si="1"/>
        <v>8.19</v>
      </c>
      <c r="J6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5.570312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0.57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5" si="0">ROW()-1</f>
        <v>1</v>
      </c>
      <c r="B2" s="3" t="s">
        <v>13</v>
      </c>
      <c r="C2" s="2">
        <v>8.6</v>
      </c>
      <c r="D2" s="2">
        <v>9.8000000000000007</v>
      </c>
      <c r="E2" s="2">
        <v>7</v>
      </c>
      <c r="F2" s="2">
        <v>9.8000000000000007</v>
      </c>
      <c r="G2" s="2">
        <v>9.4</v>
      </c>
      <c r="H2" s="2">
        <v>8.8000000000000007</v>
      </c>
      <c r="I2" s="4">
        <f t="shared" ref="I2:I5" si="1">(C2*0.2)+(D2*0.15)+(E2*0.15)+(F2*0.15)+(G2*0.15)+(H2*0.2)</f>
        <v>8.8800000000000008</v>
      </c>
      <c r="J2" s="3" t="s">
        <v>27</v>
      </c>
    </row>
    <row r="3" spans="1:10" x14ac:dyDescent="0.2">
      <c r="A3" s="2">
        <f t="shared" si="0"/>
        <v>2</v>
      </c>
      <c r="B3" s="3" t="s">
        <v>28</v>
      </c>
      <c r="C3" s="2">
        <v>8.6</v>
      </c>
      <c r="D3" s="2">
        <v>9</v>
      </c>
      <c r="E3" s="2">
        <v>7.2</v>
      </c>
      <c r="F3" s="2">
        <v>9.1999999999999993</v>
      </c>
      <c r="G3" s="2">
        <v>8</v>
      </c>
      <c r="H3" s="2">
        <v>9.4</v>
      </c>
      <c r="I3" s="4">
        <f t="shared" si="1"/>
        <v>8.6100000000000012</v>
      </c>
      <c r="J3" s="3" t="s">
        <v>31</v>
      </c>
    </row>
    <row r="4" spans="1:10" x14ac:dyDescent="0.2">
      <c r="A4" s="2">
        <f t="shared" si="0"/>
        <v>3</v>
      </c>
      <c r="B4" s="3" t="s">
        <v>32</v>
      </c>
      <c r="C4" s="2">
        <v>7.8</v>
      </c>
      <c r="D4" s="2">
        <v>9.1999999999999993</v>
      </c>
      <c r="E4" s="2">
        <v>8.5</v>
      </c>
      <c r="F4" s="2">
        <v>8.8000000000000007</v>
      </c>
      <c r="G4" s="2">
        <v>9</v>
      </c>
      <c r="H4" s="2">
        <v>8.6</v>
      </c>
      <c r="I4" s="4">
        <f t="shared" si="1"/>
        <v>8.6050000000000004</v>
      </c>
      <c r="J4" s="3" t="s">
        <v>33</v>
      </c>
    </row>
    <row r="5" spans="1:10" x14ac:dyDescent="0.2">
      <c r="A5" s="2">
        <f t="shared" si="0"/>
        <v>4</v>
      </c>
      <c r="B5" s="3" t="s">
        <v>34</v>
      </c>
      <c r="C5" s="2">
        <v>8.9</v>
      </c>
      <c r="D5" s="2">
        <v>9.5</v>
      </c>
      <c r="E5" s="2">
        <v>6.5</v>
      </c>
      <c r="F5" s="2">
        <v>9.5</v>
      </c>
      <c r="G5" s="2">
        <v>8.6</v>
      </c>
      <c r="H5" s="2">
        <v>7</v>
      </c>
      <c r="I5" s="4">
        <f t="shared" si="1"/>
        <v>8.2949999999999999</v>
      </c>
      <c r="J5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8.14062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1.1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9" si="0">ROW()-1</f>
        <v>1</v>
      </c>
      <c r="B2" s="3" t="s">
        <v>66</v>
      </c>
      <c r="C2" s="2">
        <v>8.9</v>
      </c>
      <c r="D2" s="2">
        <v>8.1999999999999993</v>
      </c>
      <c r="E2" s="2">
        <v>8.4</v>
      </c>
      <c r="F2" s="2">
        <v>7.8</v>
      </c>
      <c r="G2" s="2">
        <v>9.1999999999999993</v>
      </c>
      <c r="H2" s="2">
        <v>9.5</v>
      </c>
      <c r="I2" s="4">
        <f t="shared" ref="I2:I9" si="1">(C2*0.2)+(D2*0.15)+(E2*0.15)+(F2*0.15)+(G2*0.15)+(H2*0.2)</f>
        <v>8.7199999999999989</v>
      </c>
      <c r="J2" s="3" t="s">
        <v>67</v>
      </c>
    </row>
    <row r="3" spans="1:10" x14ac:dyDescent="0.2">
      <c r="A3" s="2">
        <f t="shared" si="0"/>
        <v>2</v>
      </c>
      <c r="B3" s="3" t="s">
        <v>68</v>
      </c>
      <c r="C3" s="2">
        <v>8.9</v>
      </c>
      <c r="D3" s="2">
        <v>8</v>
      </c>
      <c r="E3" s="2">
        <v>8.1999999999999993</v>
      </c>
      <c r="F3" s="2">
        <v>7.5</v>
      </c>
      <c r="G3" s="2">
        <v>9.1999999999999993</v>
      </c>
      <c r="H3" s="2">
        <v>9.6</v>
      </c>
      <c r="I3" s="4">
        <f t="shared" si="1"/>
        <v>8.6349999999999998</v>
      </c>
      <c r="J3" s="3" t="s">
        <v>69</v>
      </c>
    </row>
    <row r="4" spans="1:10" x14ac:dyDescent="0.2">
      <c r="A4" s="2">
        <f t="shared" si="0"/>
        <v>3</v>
      </c>
      <c r="B4" s="3" t="s">
        <v>70</v>
      </c>
      <c r="C4" s="2">
        <v>8.1999999999999993</v>
      </c>
      <c r="D4" s="2">
        <v>8</v>
      </c>
      <c r="E4" s="2">
        <v>9.6</v>
      </c>
      <c r="F4" s="2">
        <v>7.5</v>
      </c>
      <c r="G4" s="2">
        <v>9.6999999999999993</v>
      </c>
      <c r="H4" s="2">
        <v>7.8</v>
      </c>
      <c r="I4" s="4">
        <f t="shared" si="1"/>
        <v>8.42</v>
      </c>
      <c r="J4" s="3" t="s">
        <v>71</v>
      </c>
    </row>
    <row r="5" spans="1:10" x14ac:dyDescent="0.2">
      <c r="A5" s="2">
        <f t="shared" si="0"/>
        <v>4</v>
      </c>
      <c r="B5" s="3" t="s">
        <v>73</v>
      </c>
      <c r="C5" s="2">
        <v>8.8000000000000007</v>
      </c>
      <c r="D5" s="2">
        <v>7.5</v>
      </c>
      <c r="E5" s="2">
        <v>7.8</v>
      </c>
      <c r="F5" s="2">
        <v>7.2</v>
      </c>
      <c r="G5" s="2">
        <v>9.6</v>
      </c>
      <c r="H5" s="2">
        <v>9</v>
      </c>
      <c r="I5" s="4">
        <f t="shared" si="1"/>
        <v>8.375</v>
      </c>
      <c r="J5" s="3" t="s">
        <v>77</v>
      </c>
    </row>
    <row r="6" spans="1:10" x14ac:dyDescent="0.2">
      <c r="A6" s="2">
        <f t="shared" si="0"/>
        <v>5</v>
      </c>
      <c r="B6" s="3" t="s">
        <v>78</v>
      </c>
      <c r="C6" s="2">
        <v>8</v>
      </c>
      <c r="D6" s="2">
        <v>7.6</v>
      </c>
      <c r="E6" s="2">
        <v>8.1999999999999993</v>
      </c>
      <c r="F6" s="2">
        <v>8.8000000000000007</v>
      </c>
      <c r="G6" s="2">
        <v>9.6999999999999993</v>
      </c>
      <c r="H6" s="2">
        <v>8</v>
      </c>
      <c r="I6" s="4">
        <f t="shared" si="1"/>
        <v>8.3450000000000006</v>
      </c>
      <c r="J6" s="3" t="s">
        <v>79</v>
      </c>
    </row>
    <row r="7" spans="1:10" x14ac:dyDescent="0.2">
      <c r="A7" s="2">
        <f t="shared" si="0"/>
        <v>6</v>
      </c>
      <c r="B7" s="3" t="s">
        <v>82</v>
      </c>
      <c r="C7" s="2">
        <v>7.9</v>
      </c>
      <c r="D7" s="2">
        <v>7.5</v>
      </c>
      <c r="E7" s="2">
        <v>8</v>
      </c>
      <c r="F7" s="2">
        <v>8.1999999999999993</v>
      </c>
      <c r="G7" s="2">
        <v>9.8000000000000007</v>
      </c>
      <c r="H7" s="2">
        <v>8.1999999999999993</v>
      </c>
      <c r="I7" s="4">
        <f t="shared" si="1"/>
        <v>8.2449999999999992</v>
      </c>
      <c r="J7" s="3" t="s">
        <v>92</v>
      </c>
    </row>
    <row r="8" spans="1:10" x14ac:dyDescent="0.2">
      <c r="A8" s="2">
        <f t="shared" si="0"/>
        <v>7</v>
      </c>
      <c r="B8" s="3" t="s">
        <v>95</v>
      </c>
      <c r="C8" s="2">
        <v>8.6</v>
      </c>
      <c r="D8" s="2">
        <v>7.4</v>
      </c>
      <c r="E8" s="2">
        <v>7.8</v>
      </c>
      <c r="F8" s="2">
        <v>7</v>
      </c>
      <c r="G8" s="2">
        <v>9.5</v>
      </c>
      <c r="H8" s="2">
        <v>8.6</v>
      </c>
      <c r="I8" s="4">
        <f t="shared" si="1"/>
        <v>8.1950000000000003</v>
      </c>
      <c r="J8" s="3" t="s">
        <v>97</v>
      </c>
    </row>
    <row r="9" spans="1:10" x14ac:dyDescent="0.2">
      <c r="A9" s="4">
        <f t="shared" si="0"/>
        <v>8</v>
      </c>
      <c r="B9" s="3" t="s">
        <v>100</v>
      </c>
      <c r="C9" s="2">
        <v>7.5</v>
      </c>
      <c r="D9" s="2">
        <v>6.5</v>
      </c>
      <c r="E9" s="2">
        <v>8</v>
      </c>
      <c r="F9" s="2">
        <v>7</v>
      </c>
      <c r="G9" s="2">
        <v>9.9</v>
      </c>
      <c r="H9" s="2">
        <v>7</v>
      </c>
      <c r="I9" s="4">
        <f t="shared" si="1"/>
        <v>7.61</v>
      </c>
      <c r="J9" s="3" t="s">
        <v>107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2" width="13" customWidth="1"/>
    <col min="3" max="3" width="12.28515625" customWidth="1"/>
  </cols>
  <sheetData>
    <row r="1" spans="1:3" x14ac:dyDescent="0.2">
      <c r="A1" s="1" t="s">
        <v>72</v>
      </c>
      <c r="B1" s="1" t="s">
        <v>74</v>
      </c>
      <c r="C1" s="1" t="s">
        <v>75</v>
      </c>
    </row>
    <row r="2" spans="1:3" x14ac:dyDescent="0.2">
      <c r="A2" s="5" t="s">
        <v>76</v>
      </c>
      <c r="B2" s="5" t="s">
        <v>80</v>
      </c>
      <c r="C2" s="5" t="s">
        <v>81</v>
      </c>
    </row>
    <row r="3" spans="1:3" x14ac:dyDescent="0.2">
      <c r="A3" s="5" t="s">
        <v>83</v>
      </c>
      <c r="B3" s="5" t="s">
        <v>84</v>
      </c>
      <c r="C3" s="5" t="s">
        <v>85</v>
      </c>
    </row>
    <row r="4" spans="1:3" x14ac:dyDescent="0.2">
      <c r="A4" s="5" t="s">
        <v>86</v>
      </c>
      <c r="B4" s="5" t="s">
        <v>87</v>
      </c>
      <c r="C4" s="5" t="s">
        <v>88</v>
      </c>
    </row>
    <row r="5" spans="1:3" x14ac:dyDescent="0.2">
      <c r="A5" s="5" t="s">
        <v>89</v>
      </c>
      <c r="B5" s="5" t="s">
        <v>90</v>
      </c>
      <c r="C5" s="5" t="s">
        <v>91</v>
      </c>
    </row>
    <row r="6" spans="1:3" x14ac:dyDescent="0.2">
      <c r="A6" s="5" t="s">
        <v>93</v>
      </c>
      <c r="B6" s="5" t="s">
        <v>94</v>
      </c>
      <c r="C6" s="5" t="s">
        <v>96</v>
      </c>
    </row>
    <row r="7" spans="1:3" x14ac:dyDescent="0.2">
      <c r="A7" s="3" t="s">
        <v>98</v>
      </c>
      <c r="B7" s="3" t="s">
        <v>99</v>
      </c>
      <c r="C7" s="3" t="s">
        <v>101</v>
      </c>
    </row>
    <row r="8" spans="1:3" x14ac:dyDescent="0.2">
      <c r="A8" s="3" t="s">
        <v>102</v>
      </c>
      <c r="B8" s="3" t="s">
        <v>103</v>
      </c>
      <c r="C8" s="3" t="s">
        <v>104</v>
      </c>
    </row>
    <row r="9" spans="1:3" x14ac:dyDescent="0.2">
      <c r="A9" s="3" t="s">
        <v>105</v>
      </c>
      <c r="B9" s="3" t="s">
        <v>106</v>
      </c>
      <c r="C9" s="3" t="s">
        <v>104</v>
      </c>
    </row>
    <row r="10" spans="1:3" x14ac:dyDescent="0.2">
      <c r="A10" s="3" t="s">
        <v>108</v>
      </c>
      <c r="B10" s="3" t="s">
        <v>67</v>
      </c>
      <c r="C10" s="3" t="s">
        <v>109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"/>
  <sheetViews>
    <sheetView workbookViewId="0"/>
  </sheetViews>
  <sheetFormatPr baseColWidth="10" defaultColWidth="12.5703125" defaultRowHeight="15.75" customHeight="1" x14ac:dyDescent="0.2"/>
  <cols>
    <col min="1" max="1" width="12.7109375" customWidth="1"/>
    <col min="2" max="2" width="5" customWidth="1"/>
    <col min="3" max="3" width="13" customWidth="1"/>
  </cols>
  <sheetData>
    <row r="1" spans="1:3" x14ac:dyDescent="0.2">
      <c r="A1" s="1" t="s">
        <v>110</v>
      </c>
      <c r="B1" s="1" t="s">
        <v>111</v>
      </c>
      <c r="C1" s="1" t="s">
        <v>112</v>
      </c>
    </row>
    <row r="2" spans="1:3" x14ac:dyDescent="0.2">
      <c r="A2" s="5" t="s">
        <v>113</v>
      </c>
      <c r="B2" s="6">
        <v>0.2</v>
      </c>
      <c r="C2" s="5" t="s">
        <v>114</v>
      </c>
    </row>
    <row r="3" spans="1:3" x14ac:dyDescent="0.2">
      <c r="A3" s="5" t="s">
        <v>115</v>
      </c>
      <c r="B3" s="6">
        <v>0.15</v>
      </c>
      <c r="C3" s="5" t="s">
        <v>116</v>
      </c>
    </row>
    <row r="4" spans="1:3" x14ac:dyDescent="0.2">
      <c r="A4" s="5" t="s">
        <v>117</v>
      </c>
      <c r="B4" s="6">
        <v>0.15</v>
      </c>
      <c r="C4" s="5" t="s">
        <v>118</v>
      </c>
    </row>
    <row r="5" spans="1:3" x14ac:dyDescent="0.2">
      <c r="A5" s="5" t="s">
        <v>119</v>
      </c>
      <c r="B5" s="6">
        <v>0.15</v>
      </c>
      <c r="C5" s="5" t="s">
        <v>120</v>
      </c>
    </row>
    <row r="6" spans="1:3" x14ac:dyDescent="0.2">
      <c r="A6" s="5" t="s">
        <v>121</v>
      </c>
      <c r="B6" s="6">
        <v>0.15</v>
      </c>
      <c r="C6" s="5" t="s">
        <v>122</v>
      </c>
    </row>
    <row r="7" spans="1:3" x14ac:dyDescent="0.2">
      <c r="A7" s="5" t="s">
        <v>123</v>
      </c>
      <c r="B7" s="6">
        <v>0.2</v>
      </c>
      <c r="C7" s="5" t="s">
        <v>124</v>
      </c>
    </row>
    <row r="8" spans="1:3" x14ac:dyDescent="0.2">
      <c r="A8" s="7"/>
      <c r="B8" s="7"/>
      <c r="C8" s="5"/>
    </row>
    <row r="9" spans="1:3" x14ac:dyDescent="0.2">
      <c r="A9" s="5" t="s">
        <v>125</v>
      </c>
      <c r="B9" s="7"/>
      <c r="C9" s="8" t="s">
        <v>126</v>
      </c>
    </row>
    <row r="10" spans="1:3" x14ac:dyDescent="0.2">
      <c r="A10" s="5" t="s">
        <v>127</v>
      </c>
      <c r="B10" s="7"/>
      <c r="C10" s="5" t="s">
        <v>128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37"/>
  <sheetViews>
    <sheetView workbookViewId="0"/>
  </sheetViews>
  <sheetFormatPr baseColWidth="10" defaultColWidth="12.5703125" defaultRowHeight="15.75" customHeight="1" x14ac:dyDescent="0.2"/>
  <cols>
    <col min="1" max="1" width="12.42578125" customWidth="1"/>
    <col min="2" max="2" width="11.140625" customWidth="1"/>
    <col min="3" max="3" width="18.7109375" customWidth="1"/>
    <col min="4" max="4" width="20.7109375" customWidth="1"/>
    <col min="5" max="5" width="18" customWidth="1"/>
    <col min="6" max="6" width="17.42578125" customWidth="1"/>
    <col min="7" max="7" width="22.5703125" customWidth="1"/>
  </cols>
  <sheetData>
    <row r="1" spans="1:7" x14ac:dyDescent="0.2">
      <c r="A1" s="1" t="s">
        <v>1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</row>
    <row r="2" spans="1:7" x14ac:dyDescent="0.2">
      <c r="A2" s="5" t="s">
        <v>11</v>
      </c>
      <c r="B2" s="5" t="s">
        <v>135</v>
      </c>
      <c r="C2" s="5" t="s">
        <v>136</v>
      </c>
      <c r="D2" s="5" t="s">
        <v>137</v>
      </c>
      <c r="E2" s="5" t="s">
        <v>138</v>
      </c>
      <c r="F2" s="5" t="s">
        <v>139</v>
      </c>
      <c r="G2" s="5" t="s">
        <v>140</v>
      </c>
    </row>
    <row r="3" spans="1:7" x14ac:dyDescent="0.2">
      <c r="A3" s="5" t="s">
        <v>22</v>
      </c>
      <c r="B3" s="5" t="s">
        <v>135</v>
      </c>
      <c r="C3" s="5" t="s">
        <v>141</v>
      </c>
      <c r="D3" s="5" t="s">
        <v>142</v>
      </c>
      <c r="E3" s="5" t="s">
        <v>143</v>
      </c>
      <c r="F3" s="5" t="s">
        <v>144</v>
      </c>
      <c r="G3" s="5" t="s">
        <v>145</v>
      </c>
    </row>
    <row r="4" spans="1:7" x14ac:dyDescent="0.2">
      <c r="A4" s="5" t="s">
        <v>30</v>
      </c>
      <c r="B4" s="5" t="s">
        <v>135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</row>
    <row r="5" spans="1:7" x14ac:dyDescent="0.2">
      <c r="A5" s="5" t="s">
        <v>41</v>
      </c>
      <c r="B5" s="5" t="s">
        <v>135</v>
      </c>
      <c r="C5" s="5" t="s">
        <v>151</v>
      </c>
      <c r="D5" s="5" t="s">
        <v>152</v>
      </c>
      <c r="E5" s="5" t="s">
        <v>153</v>
      </c>
      <c r="F5" s="5" t="s">
        <v>154</v>
      </c>
      <c r="G5" s="5" t="s">
        <v>155</v>
      </c>
    </row>
    <row r="6" spans="1:7" x14ac:dyDescent="0.2">
      <c r="A6" s="5" t="s">
        <v>24</v>
      </c>
      <c r="B6" s="5" t="s">
        <v>156</v>
      </c>
      <c r="C6" s="5" t="s">
        <v>157</v>
      </c>
      <c r="D6" s="5" t="s">
        <v>158</v>
      </c>
      <c r="E6" s="5" t="s">
        <v>159</v>
      </c>
      <c r="F6" s="5" t="s">
        <v>160</v>
      </c>
      <c r="G6" s="5" t="s">
        <v>161</v>
      </c>
    </row>
    <row r="7" spans="1:7" x14ac:dyDescent="0.2">
      <c r="A7" s="5" t="s">
        <v>40</v>
      </c>
      <c r="B7" s="5" t="s">
        <v>156</v>
      </c>
      <c r="C7" s="5" t="s">
        <v>162</v>
      </c>
      <c r="D7" s="5" t="s">
        <v>42</v>
      </c>
      <c r="E7" s="5" t="s">
        <v>163</v>
      </c>
      <c r="F7" s="5" t="s">
        <v>164</v>
      </c>
      <c r="G7" s="5" t="s">
        <v>165</v>
      </c>
    </row>
    <row r="8" spans="1:7" x14ac:dyDescent="0.2">
      <c r="A8" s="5" t="s">
        <v>43</v>
      </c>
      <c r="B8" s="5" t="s">
        <v>156</v>
      </c>
      <c r="C8" s="5" t="s">
        <v>166</v>
      </c>
      <c r="D8" s="5" t="s">
        <v>167</v>
      </c>
      <c r="E8" s="5" t="s">
        <v>168</v>
      </c>
      <c r="F8" s="5" t="s">
        <v>169</v>
      </c>
      <c r="G8" s="5" t="s">
        <v>170</v>
      </c>
    </row>
    <row r="9" spans="1:7" x14ac:dyDescent="0.2">
      <c r="A9" s="5" t="s">
        <v>46</v>
      </c>
      <c r="B9" s="5" t="s">
        <v>171</v>
      </c>
      <c r="C9" s="5" t="s">
        <v>172</v>
      </c>
      <c r="D9" s="5" t="s">
        <v>173</v>
      </c>
      <c r="E9" s="5" t="s">
        <v>174</v>
      </c>
      <c r="F9" s="5" t="s">
        <v>175</v>
      </c>
      <c r="G9" s="5" t="s">
        <v>176</v>
      </c>
    </row>
    <row r="10" spans="1:7" x14ac:dyDescent="0.2">
      <c r="A10" s="5" t="s">
        <v>48</v>
      </c>
      <c r="B10" s="5" t="s">
        <v>156</v>
      </c>
      <c r="C10" s="5" t="s">
        <v>177</v>
      </c>
      <c r="D10" s="5" t="s">
        <v>178</v>
      </c>
      <c r="E10" s="5" t="s">
        <v>179</v>
      </c>
      <c r="F10" s="5" t="s">
        <v>180</v>
      </c>
      <c r="G10" s="5" t="s">
        <v>181</v>
      </c>
    </row>
    <row r="11" spans="1:7" x14ac:dyDescent="0.2">
      <c r="A11" s="5" t="s">
        <v>52</v>
      </c>
      <c r="B11" s="5" t="s">
        <v>156</v>
      </c>
      <c r="C11" s="5" t="s">
        <v>182</v>
      </c>
      <c r="D11" s="5" t="s">
        <v>183</v>
      </c>
      <c r="E11" s="5" t="s">
        <v>184</v>
      </c>
      <c r="F11" s="5" t="s">
        <v>185</v>
      </c>
      <c r="G11" s="5" t="s">
        <v>186</v>
      </c>
    </row>
    <row r="12" spans="1:7" x14ac:dyDescent="0.2">
      <c r="A12" s="5" t="s">
        <v>56</v>
      </c>
      <c r="B12" s="5" t="s">
        <v>156</v>
      </c>
      <c r="C12" s="5" t="s">
        <v>187</v>
      </c>
      <c r="D12" s="5" t="s">
        <v>188</v>
      </c>
      <c r="E12" s="5" t="s">
        <v>189</v>
      </c>
      <c r="F12" s="5" t="s">
        <v>190</v>
      </c>
      <c r="G12" s="5" t="s">
        <v>191</v>
      </c>
    </row>
    <row r="13" spans="1:7" x14ac:dyDescent="0.2">
      <c r="A13" s="5" t="s">
        <v>58</v>
      </c>
      <c r="B13" s="5" t="s">
        <v>156</v>
      </c>
      <c r="C13" s="5" t="s">
        <v>192</v>
      </c>
      <c r="D13" s="5" t="s">
        <v>193</v>
      </c>
      <c r="E13" s="5" t="s">
        <v>194</v>
      </c>
      <c r="F13" s="5" t="s">
        <v>195</v>
      </c>
      <c r="G13" s="5" t="s">
        <v>196</v>
      </c>
    </row>
    <row r="14" spans="1:7" x14ac:dyDescent="0.2">
      <c r="A14" s="5" t="s">
        <v>60</v>
      </c>
      <c r="B14" s="5" t="s">
        <v>156</v>
      </c>
      <c r="C14" s="5" t="s">
        <v>136</v>
      </c>
      <c r="D14" s="5" t="s">
        <v>197</v>
      </c>
      <c r="E14" s="5" t="s">
        <v>198</v>
      </c>
      <c r="F14" s="5" t="s">
        <v>199</v>
      </c>
      <c r="G14" s="5" t="s">
        <v>200</v>
      </c>
    </row>
    <row r="15" spans="1:7" x14ac:dyDescent="0.2">
      <c r="A15" s="5" t="s">
        <v>62</v>
      </c>
      <c r="B15" s="5" t="s">
        <v>156</v>
      </c>
      <c r="C15" s="5" t="s">
        <v>201</v>
      </c>
      <c r="D15" s="5" t="s">
        <v>202</v>
      </c>
      <c r="E15" s="5" t="s">
        <v>203</v>
      </c>
      <c r="F15" s="5" t="s">
        <v>204</v>
      </c>
      <c r="G15" s="5" t="s">
        <v>205</v>
      </c>
    </row>
    <row r="16" spans="1:7" x14ac:dyDescent="0.2">
      <c r="A16" s="5" t="s">
        <v>64</v>
      </c>
      <c r="B16" s="5" t="s">
        <v>156</v>
      </c>
      <c r="C16" s="5" t="s">
        <v>206</v>
      </c>
      <c r="D16" s="5" t="s">
        <v>207</v>
      </c>
      <c r="E16" s="5" t="s">
        <v>208</v>
      </c>
      <c r="F16" s="5" t="s">
        <v>209</v>
      </c>
      <c r="G16" s="5" t="s">
        <v>210</v>
      </c>
    </row>
    <row r="17" spans="1:7" x14ac:dyDescent="0.2">
      <c r="A17" s="5" t="s">
        <v>211</v>
      </c>
      <c r="B17" s="5" t="s">
        <v>212</v>
      </c>
      <c r="C17" s="5" t="s">
        <v>136</v>
      </c>
      <c r="D17" s="5" t="s">
        <v>213</v>
      </c>
      <c r="E17" s="5" t="s">
        <v>214</v>
      </c>
      <c r="F17" s="5" t="s">
        <v>215</v>
      </c>
      <c r="G17" s="5" t="s">
        <v>216</v>
      </c>
    </row>
    <row r="18" spans="1:7" x14ac:dyDescent="0.2">
      <c r="A18" s="5" t="s">
        <v>14</v>
      </c>
      <c r="B18" s="5" t="s">
        <v>212</v>
      </c>
      <c r="C18" s="5" t="s">
        <v>217</v>
      </c>
      <c r="D18" s="5" t="s">
        <v>218</v>
      </c>
      <c r="E18" s="5" t="s">
        <v>219</v>
      </c>
      <c r="F18" s="5" t="s">
        <v>220</v>
      </c>
      <c r="G18" s="5" t="s">
        <v>221</v>
      </c>
    </row>
    <row r="19" spans="1:7" x14ac:dyDescent="0.2">
      <c r="A19" s="5" t="s">
        <v>16</v>
      </c>
      <c r="B19" s="5" t="s">
        <v>212</v>
      </c>
      <c r="C19" s="5" t="s">
        <v>222</v>
      </c>
      <c r="D19" s="5" t="s">
        <v>223</v>
      </c>
      <c r="E19" s="5" t="s">
        <v>224</v>
      </c>
      <c r="F19" s="5" t="s">
        <v>225</v>
      </c>
      <c r="G19" s="5" t="s">
        <v>226</v>
      </c>
    </row>
    <row r="20" spans="1:7" x14ac:dyDescent="0.2">
      <c r="A20" s="5" t="s">
        <v>18</v>
      </c>
      <c r="B20" s="5" t="s">
        <v>212</v>
      </c>
      <c r="C20" s="5" t="s">
        <v>227</v>
      </c>
      <c r="D20" s="5" t="s">
        <v>228</v>
      </c>
      <c r="E20" s="5" t="s">
        <v>229</v>
      </c>
      <c r="F20" s="5" t="s">
        <v>230</v>
      </c>
      <c r="G20" s="5" t="s">
        <v>231</v>
      </c>
    </row>
    <row r="21" spans="1:7" x14ac:dyDescent="0.2">
      <c r="A21" s="5" t="s">
        <v>232</v>
      </c>
      <c r="B21" s="5" t="s">
        <v>212</v>
      </c>
      <c r="C21" s="5" t="s">
        <v>233</v>
      </c>
      <c r="D21" s="5" t="s">
        <v>234</v>
      </c>
      <c r="E21" s="5" t="s">
        <v>235</v>
      </c>
      <c r="F21" s="5" t="s">
        <v>236</v>
      </c>
      <c r="G21" s="5" t="s">
        <v>237</v>
      </c>
    </row>
    <row r="22" spans="1:7" x14ac:dyDescent="0.2">
      <c r="A22" s="5" t="s">
        <v>13</v>
      </c>
      <c r="B22" s="5" t="s">
        <v>238</v>
      </c>
      <c r="C22" s="5" t="s">
        <v>239</v>
      </c>
      <c r="D22" s="5" t="s">
        <v>240</v>
      </c>
      <c r="E22" s="5" t="s">
        <v>241</v>
      </c>
      <c r="F22" s="5" t="s">
        <v>242</v>
      </c>
      <c r="G22" s="5" t="s">
        <v>243</v>
      </c>
    </row>
    <row r="23" spans="1:7" x14ac:dyDescent="0.2">
      <c r="A23" s="5" t="s">
        <v>28</v>
      </c>
      <c r="B23" s="5" t="s">
        <v>238</v>
      </c>
      <c r="C23" s="5" t="s">
        <v>244</v>
      </c>
      <c r="D23" s="5" t="s">
        <v>245</v>
      </c>
      <c r="E23" s="5" t="s">
        <v>246</v>
      </c>
      <c r="F23" s="5" t="s">
        <v>247</v>
      </c>
      <c r="G23" s="5" t="s">
        <v>248</v>
      </c>
    </row>
    <row r="24" spans="1:7" x14ac:dyDescent="0.2">
      <c r="A24" s="5" t="s">
        <v>32</v>
      </c>
      <c r="B24" s="5" t="s">
        <v>238</v>
      </c>
      <c r="C24" s="5" t="s">
        <v>249</v>
      </c>
      <c r="D24" s="5" t="s">
        <v>250</v>
      </c>
      <c r="E24" s="5" t="s">
        <v>251</v>
      </c>
      <c r="F24" s="5" t="s">
        <v>252</v>
      </c>
      <c r="G24" s="5" t="s">
        <v>253</v>
      </c>
    </row>
    <row r="25" spans="1:7" x14ac:dyDescent="0.2">
      <c r="A25" s="5" t="s">
        <v>254</v>
      </c>
      <c r="B25" s="5" t="s">
        <v>238</v>
      </c>
      <c r="C25" s="5" t="s">
        <v>255</v>
      </c>
      <c r="D25" s="5" t="s">
        <v>256</v>
      </c>
      <c r="E25" s="5" t="s">
        <v>257</v>
      </c>
      <c r="F25" s="5" t="s">
        <v>258</v>
      </c>
      <c r="G25" s="5" t="s">
        <v>259</v>
      </c>
    </row>
    <row r="26" spans="1:7" x14ac:dyDescent="0.2">
      <c r="A26" s="5" t="s">
        <v>68</v>
      </c>
      <c r="B26" s="5" t="s">
        <v>109</v>
      </c>
      <c r="C26" s="5" t="s">
        <v>260</v>
      </c>
      <c r="D26" s="5" t="s">
        <v>261</v>
      </c>
      <c r="E26" s="5" t="s">
        <v>262</v>
      </c>
      <c r="F26" s="5" t="s">
        <v>263</v>
      </c>
      <c r="G26" s="5" t="s">
        <v>264</v>
      </c>
    </row>
    <row r="27" spans="1:7" x14ac:dyDescent="0.2">
      <c r="A27" s="5" t="s">
        <v>70</v>
      </c>
      <c r="B27" s="5" t="s">
        <v>109</v>
      </c>
      <c r="C27" s="5" t="s">
        <v>136</v>
      </c>
      <c r="D27" s="5" t="s">
        <v>265</v>
      </c>
      <c r="E27" s="5" t="s">
        <v>266</v>
      </c>
      <c r="F27" s="5" t="s">
        <v>267</v>
      </c>
      <c r="G27" s="5" t="s">
        <v>268</v>
      </c>
    </row>
    <row r="28" spans="1:7" x14ac:dyDescent="0.2">
      <c r="A28" s="5" t="s">
        <v>73</v>
      </c>
      <c r="B28" s="5" t="s">
        <v>109</v>
      </c>
      <c r="C28" s="5" t="s">
        <v>269</v>
      </c>
      <c r="D28" s="5" t="s">
        <v>270</v>
      </c>
      <c r="E28" s="5" t="s">
        <v>271</v>
      </c>
      <c r="F28" s="5" t="s">
        <v>272</v>
      </c>
      <c r="G28" s="5" t="s">
        <v>273</v>
      </c>
    </row>
    <row r="29" spans="1:7" x14ac:dyDescent="0.2">
      <c r="A29" s="5" t="s">
        <v>78</v>
      </c>
      <c r="B29" s="5" t="s">
        <v>109</v>
      </c>
      <c r="C29" s="5" t="s">
        <v>274</v>
      </c>
      <c r="D29" s="5" t="s">
        <v>275</v>
      </c>
      <c r="E29" s="5" t="s">
        <v>276</v>
      </c>
      <c r="F29" s="5" t="s">
        <v>277</v>
      </c>
      <c r="G29" s="5" t="s">
        <v>278</v>
      </c>
    </row>
    <row r="30" spans="1:7" x14ac:dyDescent="0.2">
      <c r="A30" s="5" t="s">
        <v>82</v>
      </c>
      <c r="B30" s="5" t="s">
        <v>109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</row>
    <row r="31" spans="1:7" x14ac:dyDescent="0.2">
      <c r="A31" s="5" t="s">
        <v>95</v>
      </c>
      <c r="B31" s="5" t="s">
        <v>109</v>
      </c>
      <c r="C31" s="5" t="s">
        <v>284</v>
      </c>
      <c r="D31" s="5" t="s">
        <v>285</v>
      </c>
      <c r="E31" s="5" t="s">
        <v>286</v>
      </c>
      <c r="F31" s="5" t="s">
        <v>287</v>
      </c>
      <c r="G31" s="5" t="s">
        <v>288</v>
      </c>
    </row>
    <row r="32" spans="1:7" x14ac:dyDescent="0.2">
      <c r="A32" s="5" t="s">
        <v>100</v>
      </c>
      <c r="B32" s="5" t="s">
        <v>109</v>
      </c>
      <c r="C32" s="5" t="s">
        <v>289</v>
      </c>
      <c r="D32" s="5" t="s">
        <v>290</v>
      </c>
      <c r="E32" s="5" t="s">
        <v>291</v>
      </c>
      <c r="F32" s="5" t="s">
        <v>292</v>
      </c>
      <c r="G32" s="5" t="s">
        <v>293</v>
      </c>
    </row>
    <row r="33" spans="1:7" x14ac:dyDescent="0.2">
      <c r="A33" s="3" t="s">
        <v>294</v>
      </c>
      <c r="B33" s="3" t="s">
        <v>135</v>
      </c>
      <c r="C33" s="3" t="s">
        <v>295</v>
      </c>
      <c r="D33" s="3" t="s">
        <v>296</v>
      </c>
      <c r="E33" s="3" t="s">
        <v>297</v>
      </c>
      <c r="F33" s="3" t="s">
        <v>298</v>
      </c>
      <c r="G33" s="3" t="s">
        <v>299</v>
      </c>
    </row>
    <row r="34" spans="1:7" x14ac:dyDescent="0.2">
      <c r="A34" s="3" t="s">
        <v>36</v>
      </c>
      <c r="B34" s="3" t="s">
        <v>135</v>
      </c>
      <c r="C34" s="3" t="s">
        <v>300</v>
      </c>
      <c r="D34" s="3" t="s">
        <v>301</v>
      </c>
      <c r="E34" s="3" t="s">
        <v>302</v>
      </c>
      <c r="F34" s="3" t="s">
        <v>303</v>
      </c>
      <c r="G34" s="3" t="s">
        <v>304</v>
      </c>
    </row>
    <row r="35" spans="1:7" x14ac:dyDescent="0.2">
      <c r="A35" s="3" t="s">
        <v>305</v>
      </c>
      <c r="B35" s="3" t="s">
        <v>156</v>
      </c>
      <c r="C35" s="3" t="s">
        <v>306</v>
      </c>
      <c r="D35" s="3" t="s">
        <v>307</v>
      </c>
      <c r="E35" s="3" t="s">
        <v>308</v>
      </c>
      <c r="F35" s="3" t="s">
        <v>309</v>
      </c>
      <c r="G35" s="3" t="s">
        <v>310</v>
      </c>
    </row>
    <row r="36" spans="1:7" x14ac:dyDescent="0.2">
      <c r="A36" s="3" t="s">
        <v>311</v>
      </c>
      <c r="B36" s="3" t="s">
        <v>156</v>
      </c>
      <c r="C36" s="3" t="s">
        <v>312</v>
      </c>
      <c r="D36" s="3" t="s">
        <v>313</v>
      </c>
      <c r="E36" s="3" t="s">
        <v>314</v>
      </c>
      <c r="F36" s="3" t="s">
        <v>315</v>
      </c>
      <c r="G36" s="3" t="s">
        <v>316</v>
      </c>
    </row>
    <row r="37" spans="1:7" x14ac:dyDescent="0.2">
      <c r="A37" s="3" t="s">
        <v>317</v>
      </c>
      <c r="B37" s="3" t="s">
        <v>109</v>
      </c>
      <c r="C37" s="3" t="s">
        <v>318</v>
      </c>
      <c r="D37" s="3" t="s">
        <v>319</v>
      </c>
      <c r="E37" s="3" t="s">
        <v>320</v>
      </c>
      <c r="F37" s="3" t="s">
        <v>321</v>
      </c>
      <c r="G37" s="3" t="s">
        <v>322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1_ADEs_Orquestadores</vt:lpstr>
      <vt:lpstr>2_Harnesses_CLI</vt:lpstr>
      <vt:lpstr>3_Agent_OS_Plataformas</vt:lpstr>
      <vt:lpstr>4_Agentes_E2E_Cloud</vt:lpstr>
      <vt:lpstr>5_Agentic_IDEs</vt:lpstr>
      <vt:lpstr>6_Explicacion_Pedagogica</vt:lpstr>
      <vt:lpstr>7_Detalle_de_Medidas</vt:lpstr>
      <vt:lpstr>8_Capacidades_Ventajas_Desventa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ESTUDIANTES</cp:lastModifiedBy>
  <dcterms:created xsi:type="dcterms:W3CDTF">2026-09-07T14:45:35Z</dcterms:created>
  <dcterms:modified xsi:type="dcterms:W3CDTF">2026-09-07T14:45:36Z</dcterms:modified>
</cp:coreProperties>
</file>